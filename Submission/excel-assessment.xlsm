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ello\Desktop\clone repo\Submission\"/>
    </mc:Choice>
  </mc:AlternateContent>
  <xr:revisionPtr revIDLastSave="0" documentId="13_ncr:1_{9056204D-ED6E-41E2-AC62-20947AC0BE6E}" xr6:coauthVersionLast="47" xr6:coauthVersionMax="47" xr10:uidLastSave="{00000000-0000-0000-0000-000000000000}"/>
  <bookViews>
    <workbookView xWindow="-120" yWindow="-120" windowWidth="20730" windowHeight="1116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6" i="16" l="1"/>
  <c r="D16" i="16"/>
  <c r="B16" i="16"/>
  <c r="B17" i="16"/>
  <c r="I23" i="20"/>
  <c r="C23" i="20" s="1"/>
  <c r="C24" i="20"/>
  <c r="C25" i="20"/>
  <c r="C26" i="20"/>
  <c r="C27" i="20"/>
  <c r="C28" i="20"/>
  <c r="C29" i="20"/>
  <c r="C30" i="20"/>
  <c r="C31" i="20"/>
  <c r="C32" i="20"/>
  <c r="C33" i="20"/>
  <c r="C34" i="20"/>
  <c r="C35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23" i="20"/>
  <c r="G25" i="20"/>
  <c r="G26" i="20"/>
  <c r="G27" i="20"/>
  <c r="G28" i="20"/>
  <c r="G29" i="20"/>
  <c r="G30" i="20"/>
  <c r="G31" i="20"/>
  <c r="G32" i="20"/>
  <c r="G33" i="20"/>
  <c r="G34" i="20"/>
  <c r="G35" i="20"/>
  <c r="G24" i="20"/>
  <c r="G23" i="20"/>
  <c r="C22" i="19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C30" i="18"/>
  <c r="D30" i="18"/>
  <c r="E30" i="18"/>
  <c r="F30" i="18"/>
  <c r="D29" i="18"/>
  <c r="E29" i="18"/>
  <c r="F29" i="18"/>
  <c r="D28" i="18"/>
  <c r="E28" i="18"/>
  <c r="F28" i="18"/>
  <c r="C29" i="18"/>
  <c r="C28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8" i="18"/>
  <c r="B9" i="18"/>
  <c r="B10" i="18"/>
  <c r="B7" i="18"/>
  <c r="B6" i="18"/>
</calcChain>
</file>

<file path=xl/sharedStrings.xml><?xml version="1.0" encoding="utf-8"?>
<sst xmlns="http://schemas.openxmlformats.org/spreadsheetml/2006/main" count="341" uniqueCount="193">
  <si>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</si>
  <si>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</si>
  <si>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</si>
  <si>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</si>
  <si>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</si>
  <si>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</si>
  <si>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</si>
  <si>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</si>
  <si>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</si>
  <si>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</si>
  <si>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</si>
  <si>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</si>
  <si>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</si>
  <si>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</si>
  <si>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</si>
  <si>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</si>
  <si>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</si>
  <si>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</si>
  <si>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</si>
  <si>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</si>
  <si>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</si>
  <si>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</si>
  <si>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</si>
  <si>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</si>
  <si>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</si>
  <si>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</si>
  <si>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</si>
  <si>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</si>
  <si>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</si>
  <si>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</si>
  <si>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</si>
  <si>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</si>
  <si>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</si>
  <si>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</si>
  <si>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</si>
  <si>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</si>
  <si>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</si>
  <si>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</si>
  <si>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</si>
  <si>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</si>
  <si>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</si>
  <si>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</si>
  <si>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</si>
  <si>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</si>
  <si>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</si>
  <si>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</si>
  <si>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</si>
  <si>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</si>
  <si>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</si>
  <si>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</si>
  <si>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</si>
  <si>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</si>
  <si>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</si>
  <si>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</si>
  <si>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</si>
  <si>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</si>
  <si>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</si>
  <si>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</si>
  <si>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</si>
  <si>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</si>
  <si>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</si>
  <si>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</si>
  <si>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</si>
  <si>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</si>
  <si>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</si>
  <si>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</si>
  <si>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</si>
  <si>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</si>
  <si>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</si>
  <si>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</si>
  <si>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</si>
  <si>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</si>
  <si>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</si>
  <si>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</si>
  <si>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</si>
  <si>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</si>
  <si>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</si>
  <si>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</si>
  <si>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</si>
  <si>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</si>
  <si>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</si>
  <si>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</si>
  <si>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</si>
  <si>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</si>
  <si>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</si>
  <si>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</si>
  <si>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</si>
  <si>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</si>
  <si>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</si>
  <si>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</si>
  <si>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</si>
  <si>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</si>
  <si>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</si>
  <si>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</si>
  <si>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</si>
  <si>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</si>
  <si>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</si>
  <si>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</si>
  <si>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</si>
  <si>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</si>
  <si>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</si>
  <si>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</si>
  <si>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</si>
  <si>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</si>
  <si>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</si>
  <si>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</si>
  <si>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</si>
  <si>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</si>
  <si>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</si>
  <si>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</si>
  <si>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</si>
  <si>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</si>
  <si>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</si>
  <si>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</si>
  <si>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</si>
  <si>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</si>
  <si>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</si>
  <si>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</si>
  <si>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</si>
  <si>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</si>
  <si>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</si>
  <si>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</si>
  <si>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</si>
  <si>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</si>
  <si>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</si>
  <si>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</si>
  <si>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</si>
  <si>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</si>
  <si>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</si>
  <si>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</si>
  <si>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</si>
  <si>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</si>
  <si>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</si>
  <si>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</si>
  <si>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</si>
  <si>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</si>
  <si>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</si>
  <si>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</si>
  <si>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</si>
  <si>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</si>
  <si>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</si>
  <si>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</si>
  <si>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</si>
  <si>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</si>
  <si>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</si>
  <si>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</si>
  <si>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</si>
  <si>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</si>
  <si>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</si>
  <si>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</si>
  <si>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</si>
  <si>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</si>
  <si>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</si>
  <si>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</si>
  <si>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</si>
  <si>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</si>
  <si>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</si>
  <si>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</si>
  <si>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</si>
  <si>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</si>
  <si>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</si>
  <si>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</si>
  <si>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</si>
  <si>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</si>
  <si>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</si>
  <si>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</si>
  <si>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</si>
  <si>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</si>
  <si>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</si>
  <si>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</si>
  <si>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</si>
  <si>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</si>
  <si>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</si>
  <si>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</si>
  <si>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</si>
  <si>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</si>
  <si>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</si>
  <si>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 xml:space="preserve"> </t>
  </si>
  <si>
    <t>"=SUMIFS(H2:H40,H2:H40,"&gt;20")"</t>
  </si>
  <si>
    <t>col_3 - MID()</t>
  </si>
  <si>
    <t>COL_4 - MID(),FIND()</t>
  </si>
  <si>
    <t>COL_5 - MID()</t>
  </si>
  <si>
    <t>COL_6 - MID()</t>
  </si>
  <si>
    <t>col_1 -left(), FIND()</t>
  </si>
  <si>
    <t>col_1 =This formula extracts the text to the left of the hyphen ("-") in cell A16 using the LEFT and FIND functions</t>
  </si>
  <si>
    <t>col_3 = this formula extract the value starts from 7 position and of 6 characters</t>
  </si>
  <si>
    <t>col_4 = This Excel formula extracts the character following the first occurrence of "-0-" in cell A16 using  MID and FIND functions</t>
  </si>
  <si>
    <t>col_5 = this formula extract the value starts from 16 position and of 6 characters</t>
  </si>
  <si>
    <t>col_6 = this formula extract the value starts from 23 position and of 2 characters</t>
  </si>
  <si>
    <t>replace the N/A value with 20 by function in home ribbon - &gt; find &amp;select</t>
  </si>
  <si>
    <t>replace the N/A value with 20  and select the sales column and applied sum function for total sum</t>
  </si>
  <si>
    <t>INDEX(), MATCH(),VLOOKUP()</t>
  </si>
  <si>
    <t>BY LOOKUP() , With the help pf Table_B converted the name_1 , name_2 of Table_c into A,B,C….etc, and then used MATCH() and INDEX() extracted the values from Table_A for the value column of Table_c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</si>
</sst>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0.0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3" fillId="0" borderId="0" xfId="0" applyNumberFormat="1" applyFont="1"/>
    <xf numFmtId="165" fontId="7" fillId="0" borderId="0" xfId="0" applyNumberFormat="1" applyFont="1"/>
    <xf numFmtId="165" fontId="3" fillId="0" borderId="0" xfId="0" applyNumberFormat="1" applyFont="1"/>
    <xf numFmtId="1" fontId="3" fillId="0" borderId="1" xfId="0" applyNumberFormat="1" applyFont="1" applyBorder="1"/>
    <xf numFmtId="1" fontId="8" fillId="0" borderId="1" xfId="0" applyNumberFormat="1" applyFont="1" applyBorder="1"/>
    <xf numFmtId="0" fontId="3" fillId="0" borderId="0" xfId="0" applyFont="1" applyAlignment="1">
      <alignment wrapTex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0"/>
      <tableStyleElement type="headerRow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D329D0-1B66-460A-B82C-EFE60FCA6332}" name="Table1" displayName="Table1" ref="G22:I35" totalsRowShown="0" headerRowDxfId="4" dataDxfId="3">
  <autoFilter ref="G22:I35" xr:uid="{4AD329D0-1B66-460A-B82C-EFE60FCA6332}"/>
  <tableColumns count="3">
    <tableColumn id="1" xr3:uid="{BC81E358-7EF6-48AB-A4E5-6A7D1F490296}" name="name_1" dataDxfId="2">
      <calculatedColumnFormula>VLOOKUP(A23, $M$9:$N$18, 2, 0)</calculatedColumnFormula>
    </tableColumn>
    <tableColumn id="2" xr3:uid="{70431D46-7E69-446B-96D7-63F3BABD1C15}" name="name_2" dataDxfId="1">
      <calculatedColumnFormula>VLOOKUP(B23, $M$9:$N$18, 2, 0)</calculatedColumnFormula>
    </tableColumn>
    <tableColumn id="3" xr3:uid="{BC52DBCB-59EA-491E-9223-85AD984EE310}" name="value" dataDxfId="0">
      <calculatedColumnFormula>INDEX($A$9:$J$18, MATCH(G23, $A$9:$A$18, 0), MATCH(H23, $A$9:$J$9, 0))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7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4" t="s">
        <v>171</v>
      </c>
      <c r="B9" s="25" t="s">
        <v>169</v>
      </c>
    </row>
    <row r="10" spans="1:3" x14ac:dyDescent="0.2">
      <c r="A10" s="33" t="s">
        <v>172</v>
      </c>
      <c r="B10" s="35">
        <v>25</v>
      </c>
    </row>
    <row r="11" spans="1:3" x14ac:dyDescent="0.2">
      <c r="A11" s="33" t="s">
        <v>55</v>
      </c>
      <c r="B11" s="35">
        <v>30</v>
      </c>
    </row>
    <row r="12" spans="1:3" x14ac:dyDescent="0.2">
      <c r="A12" s="33" t="s">
        <v>56</v>
      </c>
      <c r="B12" s="35">
        <v>10</v>
      </c>
    </row>
    <row r="13" spans="1:3" x14ac:dyDescent="0.2">
      <c r="A13" s="33" t="s">
        <v>85</v>
      </c>
      <c r="B13" s="35">
        <v>20</v>
      </c>
    </row>
    <row r="14" spans="1:3" x14ac:dyDescent="0.2">
      <c r="A14" s="33" t="s">
        <v>98</v>
      </c>
      <c r="B14" s="35">
        <v>40</v>
      </c>
    </row>
    <row r="15" spans="1:3" x14ac:dyDescent="0.2">
      <c r="A15" s="36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A40"/>
  <sheetViews>
    <sheetView topLeftCell="J1" zoomScaleNormal="100" workbookViewId="0">
      <pane ySplit="1" topLeftCell="A2" activePane="bottomLeft" state="frozen"/>
      <selection pane="bottomLeft" activeCell="Z6" sqref="Z6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3" customWidth="1"/>
    <col min="5" max="5" width="9.1640625" style="1" bestFit="1" customWidth="1"/>
    <col min="6" max="6" width="10.33203125" style="23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21.5" style="45" customWidth="1"/>
    <col min="25" max="26" width="9" style="1"/>
    <col min="27" max="27" width="10.6640625" style="1" customWidth="1"/>
    <col min="28" max="16384" width="9" style="1"/>
  </cols>
  <sheetData>
    <row r="1" spans="1:27" s="3" customFormat="1" ht="14.85" customHeight="1" x14ac:dyDescent="0.2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4" t="s">
        <v>105</v>
      </c>
    </row>
    <row r="2" spans="1:27" x14ac:dyDescent="0.2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7" x14ac:dyDescent="0.2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7" x14ac:dyDescent="0.2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7" x14ac:dyDescent="0.2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  <c r="AA5" s="43"/>
    </row>
    <row r="6" spans="1:27" x14ac:dyDescent="0.2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7" x14ac:dyDescent="0.2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7" x14ac:dyDescent="0.2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7" x14ac:dyDescent="0.2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7" x14ac:dyDescent="0.2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7" x14ac:dyDescent="0.2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7" x14ac:dyDescent="0.2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7" x14ac:dyDescent="0.2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7" x14ac:dyDescent="0.2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7" x14ac:dyDescent="0.2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7" x14ac:dyDescent="0.2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</sheetData>
  <conditionalFormatting sqref="A1:A1048576">
    <cfRule type="duplicateValues" dxfId="8" priority="4"/>
  </conditionalFormatting>
  <conditionalFormatting sqref="B1:B1048576">
    <cfRule type="duplicateValues" dxfId="7" priority="3"/>
  </conditionalFormatting>
  <conditionalFormatting sqref="A1:X40">
    <cfRule type="cellIs" dxfId="6" priority="1" operator="equal">
      <formula>0</formula>
    </cfRule>
    <cfRule type="cellIs" dxfId="5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14" sqref="B14"/>
    </sheetView>
  </sheetViews>
  <sheetFormatPr defaultColWidth="11" defaultRowHeight="15" x14ac:dyDescent="0.25"/>
  <cols>
    <col min="1" max="1" width="8.33203125" style="1" bestFit="1" customWidth="1"/>
    <col min="2" max="2" width="77.83203125" style="1" customWidth="1"/>
    <col min="3" max="3" width="33.1640625" style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2" t="s">
        <v>178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3" zoomScaleNormal="100" workbookViewId="0">
      <selection activeCell="E7" sqref="E7"/>
    </sheetView>
  </sheetViews>
  <sheetFormatPr defaultColWidth="11" defaultRowHeight="12.75" x14ac:dyDescent="0.2"/>
  <cols>
    <col min="1" max="1" width="24.83203125" style="2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39" customFormat="1" ht="21" x14ac:dyDescent="0.35">
      <c r="A1" s="40" t="s">
        <v>55</v>
      </c>
      <c r="B1" s="39" t="s">
        <v>164</v>
      </c>
    </row>
    <row r="2" spans="1:7" s="39" customFormat="1" ht="21" x14ac:dyDescent="0.35">
      <c r="B2" s="39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7" t="s">
        <v>162</v>
      </c>
      <c r="B4" s="1"/>
      <c r="C4" s="1"/>
      <c r="D4" s="1"/>
      <c r="E4" s="1"/>
      <c r="F4" s="1"/>
      <c r="G4" s="1"/>
    </row>
    <row r="5" spans="1:7" ht="15" x14ac:dyDescent="0.2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 x14ac:dyDescent="0.25">
      <c r="A6" s="7" t="s">
        <v>40</v>
      </c>
      <c r="B6" s="11">
        <f>VLOOKUP(A6,Dataset!A:X,7,FALSE)</f>
        <v>2.7</v>
      </c>
      <c r="C6" s="11">
        <f>VLOOKUP(A6,Dataset!A:X,14,FALSE)</f>
        <v>7.6</v>
      </c>
      <c r="D6" s="11">
        <f>VLOOKUP(A6,Dataset!A:X,18,FALSE)</f>
        <v>4.2</v>
      </c>
      <c r="E6" s="11">
        <f>VLOOKUP(A6,Dataset!A:X,20,FALSE)</f>
        <v>8.9</v>
      </c>
      <c r="F6" s="8">
        <f>VLOOKUP(A6,Dataset!A:X,22,FALSE)</f>
        <v>4.2</v>
      </c>
    </row>
    <row r="7" spans="1:7" ht="15" x14ac:dyDescent="0.25">
      <c r="A7" s="7" t="s">
        <v>4</v>
      </c>
      <c r="B7" s="11">
        <f>VLOOKUP(A7,Dataset!A:X,7,FALSE)</f>
        <v>2.7</v>
      </c>
      <c r="C7" s="11">
        <f>VLOOKUP(A7,Dataset!A:X,14,FALSE)</f>
        <v>7.6</v>
      </c>
      <c r="D7" s="11">
        <f>VLOOKUP(A7,Dataset!A:X,18,FALSE)</f>
        <v>4.2</v>
      </c>
      <c r="E7" s="11">
        <f>VLOOKUP(A7,Dataset!A:X,20,FALSE)</f>
        <v>8.9</v>
      </c>
      <c r="F7" s="8">
        <f>VLOOKUP(A7,Dataset!A:X,22,FALSE)</f>
        <v>4.2</v>
      </c>
    </row>
    <row r="8" spans="1:7" ht="15" x14ac:dyDescent="0.25">
      <c r="A8" s="7" t="s">
        <v>7</v>
      </c>
      <c r="B8" s="11">
        <f>VLOOKUP(A8,Dataset!A:X,7,FALSE)</f>
        <v>3.6</v>
      </c>
      <c r="C8" s="11">
        <f>VLOOKUP(A8,Dataset!A:X,14,FALSE)</f>
        <v>11.1</v>
      </c>
      <c r="D8" s="11">
        <f>VLOOKUP(A8,Dataset!A:X,18,FALSE)</f>
        <v>5.8</v>
      </c>
      <c r="E8" s="11">
        <f>VLOOKUP(A8,Dataset!A:X,20,FALSE)</f>
        <v>12.2</v>
      </c>
      <c r="F8" s="8">
        <f>VLOOKUP(A8,Dataset!A:X,22,FALSE)</f>
        <v>5.8</v>
      </c>
    </row>
    <row r="9" spans="1:7" ht="15" x14ac:dyDescent="0.25">
      <c r="A9" s="7" t="s">
        <v>8</v>
      </c>
      <c r="B9" s="11">
        <f>VLOOKUP(A9,Dataset!A:X,7,FALSE)</f>
        <v>4.9000000000000004</v>
      </c>
      <c r="C9" s="11">
        <f>VLOOKUP(A9,Dataset!A:X,14,FALSE)</f>
        <v>13.3</v>
      </c>
      <c r="D9" s="11">
        <f>VLOOKUP(A9,Dataset!A:X,18,FALSE)</f>
        <v>8.1</v>
      </c>
      <c r="E9" s="11">
        <f>VLOOKUP(A9,Dataset!A:X,20,FALSE)</f>
        <v>17</v>
      </c>
      <c r="F9" s="8">
        <f>VLOOKUP(A9,Dataset!A:X,22,FALSE)</f>
        <v>8.1</v>
      </c>
    </row>
    <row r="10" spans="1:7" ht="15" x14ac:dyDescent="0.25">
      <c r="A10" s="7" t="s">
        <v>11</v>
      </c>
      <c r="B10" s="11">
        <f>VLOOKUP(A10,Dataset!A:X,7,FALSE)</f>
        <v>9.4</v>
      </c>
      <c r="C10" s="11">
        <f>VLOOKUP(A10,Dataset!A:X,14,FALSE)</f>
        <v>28.3</v>
      </c>
      <c r="D10" s="11">
        <f>VLOOKUP(A10,Dataset!A:X,18,FALSE)</f>
        <v>16.100000000000001</v>
      </c>
      <c r="E10" s="11">
        <f>VLOOKUP(A10,Dataset!A:X,20,FALSE)</f>
        <v>32.799999999999997</v>
      </c>
      <c r="F10" s="8">
        <f>VLOOKUP(A10,Dataset!A:X,22,FALSE)</f>
        <v>16.100000000000001</v>
      </c>
    </row>
    <row r="11" spans="1:7" ht="15" x14ac:dyDescent="0.25">
      <c r="A11" s="7" t="s">
        <v>12</v>
      </c>
      <c r="B11" s="11">
        <f>VLOOKUP(A11,Dataset!A:X,7,FALSE)</f>
        <v>11.6</v>
      </c>
      <c r="C11" s="11">
        <f>VLOOKUP(A11,Dataset!A:X,14,FALSE)</f>
        <v>35.200000000000003</v>
      </c>
      <c r="D11" s="11">
        <f>VLOOKUP(A11,Dataset!A:X,18,FALSE)</f>
        <v>21.3</v>
      </c>
      <c r="E11" s="11">
        <f>VLOOKUP(A11,Dataset!A:X,20,FALSE)</f>
        <v>43</v>
      </c>
      <c r="F11" s="8">
        <f>VLOOKUP(A11,Dataset!A:X,22,FALSE)</f>
        <v>21.3</v>
      </c>
    </row>
    <row r="12" spans="1:7" ht="15" x14ac:dyDescent="0.25">
      <c r="A12" s="7" t="s">
        <v>14</v>
      </c>
      <c r="B12" s="11">
        <f>VLOOKUP(A12,Dataset!A:X,7,FALSE)</f>
        <v>18.399999999999999</v>
      </c>
      <c r="C12" s="11">
        <f>VLOOKUP(A12,Dataset!A:X,14,FALSE)</f>
        <v>55.6</v>
      </c>
      <c r="D12" s="11">
        <f>VLOOKUP(A12,Dataset!A:X,18,FALSE)</f>
        <v>33.799999999999997</v>
      </c>
      <c r="E12" s="11">
        <f>VLOOKUP(A12,Dataset!A:X,20,FALSE)</f>
        <v>67.900000000000006</v>
      </c>
      <c r="F12" s="8">
        <f>VLOOKUP(A12,Dataset!A:X,22,FALSE)</f>
        <v>33.799999999999997</v>
      </c>
    </row>
    <row r="13" spans="1:7" ht="15" x14ac:dyDescent="0.25">
      <c r="A13" s="7" t="s">
        <v>15</v>
      </c>
      <c r="B13" s="11">
        <f>VLOOKUP(A13,Dataset!A:X,7,FALSE)</f>
        <v>0</v>
      </c>
      <c r="C13" s="11">
        <f>VLOOKUP(A13,Dataset!A:X,14,FALSE)</f>
        <v>0</v>
      </c>
      <c r="D13" s="11">
        <f>VLOOKUP(A13,Dataset!A:X,18,FALSE)</f>
        <v>0</v>
      </c>
      <c r="E13" s="11">
        <f>VLOOKUP(A13,Dataset!A:X,20,FALSE)</f>
        <v>0</v>
      </c>
      <c r="F13" s="8">
        <f>VLOOKUP(A13,Dataset!A:X,22,FALSE)</f>
        <v>0</v>
      </c>
    </row>
    <row r="14" spans="1:7" ht="15" x14ac:dyDescent="0.25">
      <c r="A14" s="7" t="s">
        <v>16</v>
      </c>
      <c r="B14" s="11">
        <f>VLOOKUP(A14,Dataset!A:X,7,FALSE)</f>
        <v>21.9</v>
      </c>
      <c r="C14" s="11">
        <f>VLOOKUP(A14,Dataset!A:X,14,FALSE)</f>
        <v>61.5</v>
      </c>
      <c r="D14" s="11">
        <f>VLOOKUP(A14,Dataset!A:X,18,FALSE)</f>
        <v>40.1</v>
      </c>
      <c r="E14" s="11">
        <f>VLOOKUP(A14,Dataset!A:X,20,FALSE)</f>
        <v>76.599999999999994</v>
      </c>
      <c r="F14" s="8">
        <f>VLOOKUP(A14,Dataset!A:X,22,FALSE)</f>
        <v>40.1</v>
      </c>
    </row>
    <row r="15" spans="1:7" ht="15" x14ac:dyDescent="0.25">
      <c r="A15" s="7" t="s">
        <v>18</v>
      </c>
      <c r="B15" s="11">
        <f>VLOOKUP(A15,Dataset!A:X,7,FALSE)</f>
        <v>26.8</v>
      </c>
      <c r="C15" s="11">
        <f>VLOOKUP(A15,Dataset!A:X,14,FALSE)</f>
        <v>79.599999999999994</v>
      </c>
      <c r="D15" s="11">
        <f>VLOOKUP(A15,Dataset!A:X,18,FALSE)</f>
        <v>47.9</v>
      </c>
      <c r="E15" s="11">
        <f>VLOOKUP(A15,Dataset!A:X,20,FALSE)</f>
        <v>96.8</v>
      </c>
      <c r="F15" s="8">
        <f>VLOOKUP(A15,Dataset!A:X,22,FALSE)</f>
        <v>47.9</v>
      </c>
    </row>
    <row r="16" spans="1:7" ht="15" x14ac:dyDescent="0.25">
      <c r="A16" s="7" t="s">
        <v>20</v>
      </c>
      <c r="B16" s="11">
        <f>VLOOKUP(A16,Dataset!A:X,7,FALSE)</f>
        <v>28.5</v>
      </c>
      <c r="C16" s="11">
        <f>VLOOKUP(A16,Dataset!A:X,14,FALSE)</f>
        <v>85.4</v>
      </c>
      <c r="D16" s="11">
        <f>VLOOKUP(A16,Dataset!A:X,18,FALSE)</f>
        <v>52.3</v>
      </c>
      <c r="E16" s="11">
        <f>VLOOKUP(A16,Dataset!A:X,20,FALSE)</f>
        <v>106.1</v>
      </c>
      <c r="F16" s="8">
        <f>VLOOKUP(A16,Dataset!A:X,22,FALSE)</f>
        <v>52.3</v>
      </c>
    </row>
    <row r="17" spans="1:6" ht="15" x14ac:dyDescent="0.25">
      <c r="A17" s="7" t="s">
        <v>22</v>
      </c>
      <c r="B17" s="11">
        <f>VLOOKUP(A17,Dataset!A:X,7,FALSE)</f>
        <v>30.7</v>
      </c>
      <c r="C17" s="11">
        <f>VLOOKUP(A17,Dataset!A:X,14,FALSE)</f>
        <v>92.1</v>
      </c>
      <c r="D17" s="11">
        <f>VLOOKUP(A17,Dataset!A:X,18,FALSE)</f>
        <v>57</v>
      </c>
      <c r="E17" s="11">
        <f>VLOOKUP(A17,Dataset!A:X,20,FALSE)</f>
        <v>115.1</v>
      </c>
      <c r="F17" s="8">
        <f>VLOOKUP(A17,Dataset!A:X,22,FALSE)</f>
        <v>57</v>
      </c>
    </row>
    <row r="18" spans="1:6" ht="15" x14ac:dyDescent="0.25">
      <c r="A18" s="7" t="s">
        <v>23</v>
      </c>
      <c r="B18" s="11">
        <f>VLOOKUP(A18,Dataset!A:X,7,FALSE)</f>
        <v>33.799999999999997</v>
      </c>
      <c r="C18" s="11">
        <f>VLOOKUP(A18,Dataset!A:X,14,FALSE)</f>
        <v>101.3</v>
      </c>
      <c r="D18" s="11">
        <f>VLOOKUP(A18,Dataset!A:X,18,FALSE)</f>
        <v>61.4</v>
      </c>
      <c r="E18" s="11">
        <f>VLOOKUP(A18,Dataset!A:X,20,FALSE)</f>
        <v>124.4</v>
      </c>
      <c r="F18" s="8">
        <f>VLOOKUP(A18,Dataset!A:X,22,FALSE)</f>
        <v>61.4</v>
      </c>
    </row>
    <row r="19" spans="1:6" ht="15" x14ac:dyDescent="0.25">
      <c r="A19" s="7" t="s">
        <v>24</v>
      </c>
      <c r="B19" s="11">
        <f>VLOOKUP(A19,Dataset!A:X,7,FALSE)</f>
        <v>34.700000000000003</v>
      </c>
      <c r="C19" s="11">
        <f>VLOOKUP(A19,Dataset!A:X,14,FALSE)</f>
        <v>106.1</v>
      </c>
      <c r="D19" s="11">
        <f>VLOOKUP(A19,Dataset!A:X,18,FALSE)</f>
        <v>63.6</v>
      </c>
      <c r="E19" s="11">
        <f>VLOOKUP(A19,Dataset!A:X,20,FALSE)</f>
        <v>128.6</v>
      </c>
      <c r="F19" s="8">
        <f>VLOOKUP(A19,Dataset!A:X,22,FALSE)</f>
        <v>63.6</v>
      </c>
    </row>
    <row r="20" spans="1:6" ht="15" x14ac:dyDescent="0.25">
      <c r="A20" s="7" t="s">
        <v>28</v>
      </c>
      <c r="B20" s="11">
        <f>VLOOKUP(A20,Dataset!A:X,7,FALSE)</f>
        <v>0</v>
      </c>
      <c r="C20" s="11">
        <f>VLOOKUP(A20,Dataset!A:X,14,FALSE)</f>
        <v>0</v>
      </c>
      <c r="D20" s="11">
        <f>VLOOKUP(A20,Dataset!A:X,18,FALSE)</f>
        <v>0</v>
      </c>
      <c r="E20" s="11">
        <f>VLOOKUP(A20,Dataset!A:X,20,FALSE)</f>
        <v>0</v>
      </c>
      <c r="F20" s="8">
        <f>VLOOKUP(A20,Dataset!A:X,22,FALSE)</f>
        <v>0</v>
      </c>
    </row>
    <row r="21" spans="1:6" ht="15" x14ac:dyDescent="0.25">
      <c r="A21" s="7" t="s">
        <v>57</v>
      </c>
      <c r="B21" s="11">
        <f>VLOOKUP(A21,Dataset!A:X,7,FALSE)</f>
        <v>41.3</v>
      </c>
      <c r="C21" s="11">
        <f>VLOOKUP(A21,Dataset!A:X,14,FALSE)</f>
        <v>124.4</v>
      </c>
      <c r="D21" s="11">
        <f>VLOOKUP(A21,Dataset!A:X,18,FALSE)</f>
        <v>75</v>
      </c>
      <c r="E21" s="11">
        <f>VLOOKUP(A21,Dataset!A:X,20,FALSE)</f>
        <v>151.5</v>
      </c>
      <c r="F21" s="8">
        <f>VLOOKUP(A21,Dataset!A:X,22,FALSE)</f>
        <v>75</v>
      </c>
    </row>
    <row r="22" spans="1:6" ht="15" x14ac:dyDescent="0.25">
      <c r="A22" s="7" t="s">
        <v>58</v>
      </c>
      <c r="B22" s="11">
        <f>VLOOKUP(A22,Dataset!A:X,7,FALSE)</f>
        <v>-1</v>
      </c>
      <c r="C22" s="11">
        <f>VLOOKUP(A22,Dataset!A:X,14,FALSE)</f>
        <v>-1</v>
      </c>
      <c r="D22" s="11">
        <f>VLOOKUP(A22,Dataset!A:X,18,FALSE)</f>
        <v>-1</v>
      </c>
      <c r="E22" s="11">
        <f>VLOOKUP(A22,Dataset!A:X,20,FALSE)</f>
        <v>-1</v>
      </c>
      <c r="F22" s="8">
        <f>VLOOKUP(A22,Dataset!A:X,22,FALSE)</f>
        <v>-1</v>
      </c>
    </row>
    <row r="23" spans="1:6" ht="15" x14ac:dyDescent="0.25">
      <c r="A23" s="7" t="s">
        <v>31</v>
      </c>
      <c r="B23" s="11">
        <f>VLOOKUP(A23,Dataset!A:X,7,FALSE)</f>
        <v>45</v>
      </c>
      <c r="C23" s="11">
        <f>VLOOKUP(A23,Dataset!A:X,14,FALSE)</f>
        <v>133.4</v>
      </c>
      <c r="D23" s="11">
        <f>VLOOKUP(A23,Dataset!A:X,18,FALSE)</f>
        <v>79.400000000000006</v>
      </c>
      <c r="E23" s="11">
        <f>VLOOKUP(A23,Dataset!A:X,20,FALSE)</f>
        <v>160.9</v>
      </c>
      <c r="F23" s="8">
        <f>VLOOKUP(A23,Dataset!A:X,22,FALSE)</f>
        <v>79.400000000000006</v>
      </c>
    </row>
    <row r="24" spans="1:6" ht="15" x14ac:dyDescent="0.25">
      <c r="A24" s="7" t="s">
        <v>32</v>
      </c>
      <c r="B24" s="11">
        <f>VLOOKUP(A24,Dataset!A:X,7,FALSE)</f>
        <v>-1</v>
      </c>
      <c r="C24" s="11">
        <f>VLOOKUP(A24,Dataset!A:X,14,FALSE)</f>
        <v>-1</v>
      </c>
      <c r="D24" s="11">
        <f>VLOOKUP(A24,Dataset!A:X,18,FALSE)</f>
        <v>-1</v>
      </c>
      <c r="E24" s="11">
        <f>VLOOKUP(A24,Dataset!A:X,20,FALSE)</f>
        <v>-1</v>
      </c>
      <c r="F24" s="8">
        <f>VLOOKUP(A24,Dataset!A:X,22,FALSE)</f>
        <v>-1</v>
      </c>
    </row>
    <row r="25" spans="1:6" ht="15" x14ac:dyDescent="0.25">
      <c r="A25" s="7" t="s">
        <v>34</v>
      </c>
      <c r="B25" s="11">
        <f>VLOOKUP(A25,Dataset!A:X,7,FALSE)</f>
        <v>43.3</v>
      </c>
      <c r="C25" s="11">
        <f>VLOOKUP(A25,Dataset!A:X,14,FALSE)</f>
        <v>128.6</v>
      </c>
      <c r="D25" s="11">
        <f>VLOOKUP(A25,Dataset!A:X,18,FALSE)</f>
        <v>79.400000000000006</v>
      </c>
      <c r="E25" s="11">
        <f>VLOOKUP(A25,Dataset!A:X,20,FALSE)</f>
        <v>160.9</v>
      </c>
      <c r="F25" s="8">
        <f>VLOOKUP(A25,Dataset!A:X,22,FALSE)</f>
        <v>79.400000000000006</v>
      </c>
    </row>
    <row r="26" spans="1:6" ht="15" x14ac:dyDescent="0.25">
      <c r="A26" s="7" t="s">
        <v>37</v>
      </c>
      <c r="B26" s="11">
        <f>VLOOKUP(A26,Dataset!A:X,7,FALSE)</f>
        <v>49.1</v>
      </c>
      <c r="C26" s="11">
        <f>VLOOKUP(A26,Dataset!A:X,14,FALSE)</f>
        <v>146.80000000000001</v>
      </c>
      <c r="D26" s="11">
        <f>VLOOKUP(A26,Dataset!A:X,18,FALSE)</f>
        <v>90.9</v>
      </c>
      <c r="E26" s="11">
        <f>VLOOKUP(A26,Dataset!A:X,20,FALSE)</f>
        <v>183.5</v>
      </c>
      <c r="F26" s="8">
        <f>VLOOKUP(A26,Dataset!A:X,22,FALSE)</f>
        <v>90.9</v>
      </c>
    </row>
    <row r="27" spans="1:6" ht="15" x14ac:dyDescent="0.25">
      <c r="A27" s="7" t="s">
        <v>39</v>
      </c>
      <c r="B27" s="11">
        <f>VLOOKUP(A27,Dataset!A:X,7,FALSE)</f>
        <v>51.8</v>
      </c>
      <c r="C27" s="11">
        <f>VLOOKUP(A27,Dataset!A:X,14,FALSE)</f>
        <v>156.4</v>
      </c>
      <c r="D27" s="11">
        <f>VLOOKUP(A27,Dataset!A:X,18,FALSE)</f>
        <v>93.1</v>
      </c>
      <c r="E27" s="11">
        <f>VLOOKUP(A27,Dataset!A:X,20,FALSE)</f>
        <v>188.1</v>
      </c>
      <c r="F27" s="8">
        <f>VLOOKUP(A27,Dataset!A:X,22,FALSE)</f>
        <v>93.1</v>
      </c>
    </row>
    <row r="28" spans="1:6" ht="15" x14ac:dyDescent="0.25">
      <c r="A28" s="18" t="s">
        <v>82</v>
      </c>
      <c r="B28" s="11">
        <f>MIN(B6:B27)</f>
        <v>-1</v>
      </c>
      <c r="C28" s="11">
        <f>MIN(C6:C27)</f>
        <v>-1</v>
      </c>
      <c r="D28" s="11">
        <f t="shared" ref="D28:F28" si="0">MIN(D6:D27)</f>
        <v>-1</v>
      </c>
      <c r="E28" s="11">
        <f t="shared" si="0"/>
        <v>-1</v>
      </c>
      <c r="F28" s="11">
        <f t="shared" si="0"/>
        <v>-1</v>
      </c>
    </row>
    <row r="29" spans="1:6" ht="15" x14ac:dyDescent="0.25">
      <c r="A29" s="18" t="s">
        <v>83</v>
      </c>
      <c r="B29" s="11">
        <f>MAX(B2:B27)</f>
        <v>51.8</v>
      </c>
      <c r="C29" s="11">
        <f>MAX(C2:C27)</f>
        <v>156.4</v>
      </c>
      <c r="D29" s="11">
        <f t="shared" ref="D29:F29" si="1">MAX(D2:D27)</f>
        <v>93.1</v>
      </c>
      <c r="E29" s="11">
        <f t="shared" si="1"/>
        <v>188.1</v>
      </c>
      <c r="F29" s="11">
        <f t="shared" si="1"/>
        <v>93.1</v>
      </c>
    </row>
    <row r="30" spans="1:6" ht="15" x14ac:dyDescent="0.25">
      <c r="A30" s="18" t="s">
        <v>84</v>
      </c>
      <c r="B30" s="11">
        <f>AVERAGE(B2:B27)</f>
        <v>20.827272727272728</v>
      </c>
      <c r="C30" s="11">
        <f t="shared" ref="C30:F30" si="2">AVERAGE(C2:C27)</f>
        <v>62.377272727272725</v>
      </c>
      <c r="D30" s="11">
        <f t="shared" si="2"/>
        <v>37.800000000000004</v>
      </c>
      <c r="E30" s="11">
        <f t="shared" si="2"/>
        <v>76.418181818181822</v>
      </c>
      <c r="F30" s="1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4" zoomScaleNormal="100" workbookViewId="0">
      <selection activeCell="F9" sqref="F9"/>
    </sheetView>
  </sheetViews>
  <sheetFormatPr defaultColWidth="11" defaultRowHeight="15" x14ac:dyDescent="0.25"/>
  <cols>
    <col min="1" max="1" width="39.83203125" style="1" bestFit="1" customWidth="1"/>
    <col min="2" max="2" width="22.5" style="1" customWidth="1"/>
    <col min="3" max="3" width="16.5" style="1" customWidth="1"/>
    <col min="4" max="4" width="25.33203125" style="1" customWidth="1"/>
    <col min="5" max="5" width="21.5" style="1" customWidth="1"/>
    <col min="6" max="6" width="20.6640625" style="1" customWidth="1"/>
    <col min="7" max="12" width="11" style="1"/>
    <col min="13" max="13" width="21" style="1" customWidth="1"/>
    <col min="14" max="16384" width="11" style="1"/>
  </cols>
  <sheetData>
    <row r="1" spans="1:10" s="39" customFormat="1" ht="21" x14ac:dyDescent="0.35">
      <c r="A1" s="40" t="s">
        <v>56</v>
      </c>
      <c r="B1" s="39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1" t="s">
        <v>53</v>
      </c>
      <c r="B5" s="1" t="s">
        <v>183</v>
      </c>
      <c r="C5" s="1" t="s">
        <v>179</v>
      </c>
      <c r="D5" s="1" t="s">
        <v>180</v>
      </c>
      <c r="E5" s="1" t="s">
        <v>181</v>
      </c>
      <c r="F5" s="1" t="s">
        <v>182</v>
      </c>
    </row>
    <row r="6" spans="1:10" ht="105.75" x14ac:dyDescent="0.3">
      <c r="A6" s="41" t="s">
        <v>153</v>
      </c>
      <c r="B6" s="48" t="s">
        <v>184</v>
      </c>
      <c r="C6" s="48" t="s">
        <v>185</v>
      </c>
      <c r="D6" s="48" t="s">
        <v>186</v>
      </c>
      <c r="E6" s="48" t="s">
        <v>187</v>
      </c>
      <c r="F6" s="48" t="s">
        <v>188</v>
      </c>
      <c r="G6" s="48"/>
    </row>
    <row r="7" spans="1:10" ht="18.75" x14ac:dyDescent="0.3">
      <c r="A7" s="41"/>
      <c r="B7" s="38"/>
    </row>
    <row r="9" spans="1:10" ht="23.25" x14ac:dyDescent="0.35">
      <c r="A9" s="17" t="s">
        <v>165</v>
      </c>
      <c r="I9" s="2"/>
      <c r="J9" s="2"/>
    </row>
    <row r="10" spans="1:10" x14ac:dyDescent="0.25">
      <c r="A10" s="31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25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25" x14ac:dyDescent="0.35">
      <c r="A14" s="17" t="s">
        <v>162</v>
      </c>
    </row>
    <row r="15" spans="1:10" x14ac:dyDescent="0.2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25">
      <c r="A16" s="7" t="s">
        <v>121</v>
      </c>
      <c r="B16" s="11" t="str">
        <f>LEFT(A16,FIND("-",A16)-1)</f>
        <v>20000</v>
      </c>
      <c r="C16" s="1" t="str">
        <f>MID(A16,7,6)</f>
        <v>Monday</v>
      </c>
      <c r="D16" s="11" t="str">
        <f>MID(A16, FIND("-0-", A16) + 1, 1)</f>
        <v>0</v>
      </c>
      <c r="E16" s="1" t="str">
        <f>MID(A16,16,6)</f>
        <v>Sunday</v>
      </c>
      <c r="F16" s="11" t="str">
        <f>MID(A16,23,2)</f>
        <v>24</v>
      </c>
    </row>
    <row r="17" spans="1:6" x14ac:dyDescent="0.25">
      <c r="A17" s="7" t="s">
        <v>122</v>
      </c>
      <c r="B17" s="11" t="str">
        <f>LEFT(A17,FIND("-",A17)-1)</f>
        <v>20002</v>
      </c>
      <c r="C17" s="1" t="str">
        <f t="shared" ref="C17:C54" si="0">MID(A17,7,6)</f>
        <v>Monday</v>
      </c>
      <c r="D17" s="11" t="str">
        <f t="shared" ref="D17:D54" si="1">MID(A17, FIND("-0-", A17) + 1, 1)</f>
        <v>0</v>
      </c>
      <c r="E17" s="1" t="str">
        <f t="shared" ref="E17:E54" si="2">MID(A17,16,6)</f>
        <v>Sunday</v>
      </c>
      <c r="F17" s="11" t="str">
        <f t="shared" ref="F17:F54" si="3">MID(A17,23,2)</f>
        <v>24</v>
      </c>
    </row>
    <row r="18" spans="1:6" x14ac:dyDescent="0.25">
      <c r="A18" s="7" t="s">
        <v>123</v>
      </c>
      <c r="B18" s="11" t="str">
        <f t="shared" ref="B18:B54" si="4">LEFT(A18,FIND("-",A18) -1)</f>
        <v>20004</v>
      </c>
      <c r="C18" s="1" t="str">
        <f t="shared" si="0"/>
        <v>Monday</v>
      </c>
      <c r="D18" s="11" t="str">
        <f t="shared" si="1"/>
        <v>0</v>
      </c>
      <c r="E18" s="1" t="str">
        <f t="shared" si="2"/>
        <v>Sunday</v>
      </c>
      <c r="F18" s="11" t="str">
        <f t="shared" si="3"/>
        <v>24</v>
      </c>
    </row>
    <row r="19" spans="1:6" x14ac:dyDescent="0.25">
      <c r="A19" s="7" t="s">
        <v>124</v>
      </c>
      <c r="B19" s="11" t="str">
        <f t="shared" si="4"/>
        <v>20006</v>
      </c>
      <c r="C19" s="1" t="str">
        <f t="shared" si="0"/>
        <v>Monday</v>
      </c>
      <c r="D19" s="11" t="str">
        <f t="shared" si="1"/>
        <v>0</v>
      </c>
      <c r="E19" s="1" t="str">
        <f t="shared" si="2"/>
        <v>Sunday</v>
      </c>
      <c r="F19" s="11" t="str">
        <f t="shared" si="3"/>
        <v>24</v>
      </c>
    </row>
    <row r="20" spans="1:6" x14ac:dyDescent="0.25">
      <c r="A20" s="7" t="s">
        <v>125</v>
      </c>
      <c r="B20" s="11" t="str">
        <f t="shared" si="4"/>
        <v>20008</v>
      </c>
      <c r="C20" s="1" t="str">
        <f t="shared" si="0"/>
        <v>Monday</v>
      </c>
      <c r="D20" s="11" t="str">
        <f t="shared" si="1"/>
        <v>0</v>
      </c>
      <c r="E20" s="1" t="str">
        <f t="shared" si="2"/>
        <v>Sunday</v>
      </c>
      <c r="F20" s="11" t="str">
        <f t="shared" si="3"/>
        <v>24</v>
      </c>
    </row>
    <row r="21" spans="1:6" x14ac:dyDescent="0.25">
      <c r="A21" s="7" t="s">
        <v>126</v>
      </c>
      <c r="B21" s="11" t="str">
        <f t="shared" si="4"/>
        <v>20010</v>
      </c>
      <c r="C21" s="1" t="str">
        <f t="shared" si="0"/>
        <v>Monday</v>
      </c>
      <c r="D21" s="11" t="str">
        <f t="shared" si="1"/>
        <v>0</v>
      </c>
      <c r="E21" s="1" t="str">
        <f t="shared" si="2"/>
        <v>Sunday</v>
      </c>
      <c r="F21" s="11" t="str">
        <f t="shared" si="3"/>
        <v>24</v>
      </c>
    </row>
    <row r="22" spans="1:6" x14ac:dyDescent="0.25">
      <c r="A22" s="7" t="s">
        <v>127</v>
      </c>
      <c r="B22" s="11" t="str">
        <f t="shared" si="4"/>
        <v>20012</v>
      </c>
      <c r="C22" s="1" t="str">
        <f t="shared" si="0"/>
        <v>Monday</v>
      </c>
      <c r="D22" s="11" t="str">
        <f t="shared" si="1"/>
        <v>0</v>
      </c>
      <c r="E22" s="1" t="str">
        <f t="shared" si="2"/>
        <v>Sunday</v>
      </c>
      <c r="F22" s="11" t="str">
        <f t="shared" si="3"/>
        <v>24</v>
      </c>
    </row>
    <row r="23" spans="1:6" x14ac:dyDescent="0.25">
      <c r="A23" s="7" t="s">
        <v>128</v>
      </c>
      <c r="B23" s="11" t="str">
        <f t="shared" si="4"/>
        <v>20014</v>
      </c>
      <c r="C23" s="1" t="str">
        <f t="shared" si="0"/>
        <v>Monday</v>
      </c>
      <c r="D23" s="11" t="str">
        <f t="shared" si="1"/>
        <v>0</v>
      </c>
      <c r="E23" s="1" t="str">
        <f t="shared" si="2"/>
        <v>Sunday</v>
      </c>
      <c r="F23" s="11" t="str">
        <f t="shared" si="3"/>
        <v>24</v>
      </c>
    </row>
    <row r="24" spans="1:6" x14ac:dyDescent="0.25">
      <c r="A24" s="7" t="s">
        <v>129</v>
      </c>
      <c r="B24" s="11" t="str">
        <f t="shared" si="4"/>
        <v>20016</v>
      </c>
      <c r="C24" s="1" t="str">
        <f t="shared" si="0"/>
        <v>Monday</v>
      </c>
      <c r="D24" s="11" t="str">
        <f t="shared" si="1"/>
        <v>0</v>
      </c>
      <c r="E24" s="1" t="str">
        <f t="shared" si="2"/>
        <v>Sunday</v>
      </c>
      <c r="F24" s="11" t="str">
        <f t="shared" si="3"/>
        <v>24</v>
      </c>
    </row>
    <row r="25" spans="1:6" x14ac:dyDescent="0.25">
      <c r="A25" s="7" t="s">
        <v>130</v>
      </c>
      <c r="B25" s="11" t="str">
        <f t="shared" si="4"/>
        <v>20018</v>
      </c>
      <c r="C25" s="1" t="str">
        <f t="shared" si="0"/>
        <v>Monday</v>
      </c>
      <c r="D25" s="11" t="str">
        <f t="shared" si="1"/>
        <v>0</v>
      </c>
      <c r="E25" s="1" t="str">
        <f t="shared" si="2"/>
        <v>Sunday</v>
      </c>
      <c r="F25" s="11" t="str">
        <f t="shared" si="3"/>
        <v>24</v>
      </c>
    </row>
    <row r="26" spans="1:6" x14ac:dyDescent="0.25">
      <c r="A26" s="7" t="s">
        <v>131</v>
      </c>
      <c r="B26" s="11" t="str">
        <f t="shared" si="4"/>
        <v>20020</v>
      </c>
      <c r="C26" s="1" t="str">
        <f t="shared" si="0"/>
        <v>Monday</v>
      </c>
      <c r="D26" s="11" t="str">
        <f t="shared" si="1"/>
        <v>0</v>
      </c>
      <c r="E26" s="1" t="str">
        <f t="shared" si="2"/>
        <v>Sunday</v>
      </c>
      <c r="F26" s="11" t="str">
        <f t="shared" si="3"/>
        <v>24</v>
      </c>
    </row>
    <row r="27" spans="1:6" x14ac:dyDescent="0.25">
      <c r="A27" s="7" t="s">
        <v>132</v>
      </c>
      <c r="B27" s="11" t="str">
        <f t="shared" si="4"/>
        <v>20022</v>
      </c>
      <c r="C27" s="1" t="str">
        <f t="shared" si="0"/>
        <v>Monday</v>
      </c>
      <c r="D27" s="11" t="str">
        <f t="shared" si="1"/>
        <v>0</v>
      </c>
      <c r="E27" s="1" t="str">
        <f t="shared" si="2"/>
        <v>Sunday</v>
      </c>
      <c r="F27" s="11" t="str">
        <f t="shared" si="3"/>
        <v>24</v>
      </c>
    </row>
    <row r="28" spans="1:6" x14ac:dyDescent="0.25">
      <c r="A28" s="7" t="s">
        <v>133</v>
      </c>
      <c r="B28" s="11" t="str">
        <f t="shared" si="4"/>
        <v>20024</v>
      </c>
      <c r="C28" s="1" t="str">
        <f t="shared" si="0"/>
        <v>Monday</v>
      </c>
      <c r="D28" s="11" t="str">
        <f t="shared" si="1"/>
        <v>0</v>
      </c>
      <c r="E28" s="1" t="str">
        <f t="shared" si="2"/>
        <v>Sunday</v>
      </c>
      <c r="F28" s="11" t="str">
        <f t="shared" si="3"/>
        <v>24</v>
      </c>
    </row>
    <row r="29" spans="1:6" x14ac:dyDescent="0.25">
      <c r="A29" s="7" t="s">
        <v>134</v>
      </c>
      <c r="B29" s="11" t="str">
        <f t="shared" si="4"/>
        <v>20026</v>
      </c>
      <c r="C29" s="1" t="str">
        <f t="shared" si="0"/>
        <v>Monday</v>
      </c>
      <c r="D29" s="11" t="str">
        <f t="shared" si="1"/>
        <v>0</v>
      </c>
      <c r="E29" s="1" t="str">
        <f t="shared" si="2"/>
        <v>Sunday</v>
      </c>
      <c r="F29" s="11" t="str">
        <f t="shared" si="3"/>
        <v>24</v>
      </c>
    </row>
    <row r="30" spans="1:6" x14ac:dyDescent="0.25">
      <c r="A30" s="7" t="s">
        <v>135</v>
      </c>
      <c r="B30" s="11" t="str">
        <f t="shared" si="4"/>
        <v>20028</v>
      </c>
      <c r="C30" s="1" t="str">
        <f t="shared" si="0"/>
        <v>Monday</v>
      </c>
      <c r="D30" s="11" t="str">
        <f t="shared" si="1"/>
        <v>0</v>
      </c>
      <c r="E30" s="1" t="str">
        <f t="shared" si="2"/>
        <v>Sunday</v>
      </c>
      <c r="F30" s="11" t="str">
        <f t="shared" si="3"/>
        <v>24</v>
      </c>
    </row>
    <row r="31" spans="1:6" x14ac:dyDescent="0.25">
      <c r="A31" s="7" t="s">
        <v>136</v>
      </c>
      <c r="B31" s="11" t="str">
        <f t="shared" si="4"/>
        <v>20030</v>
      </c>
      <c r="C31" s="1" t="str">
        <f t="shared" si="0"/>
        <v>Monday</v>
      </c>
      <c r="D31" s="11" t="str">
        <f t="shared" si="1"/>
        <v>0</v>
      </c>
      <c r="E31" s="1" t="str">
        <f t="shared" si="2"/>
        <v>Sunday</v>
      </c>
      <c r="F31" s="11" t="str">
        <f t="shared" si="3"/>
        <v>24</v>
      </c>
    </row>
    <row r="32" spans="1:6" x14ac:dyDescent="0.25">
      <c r="A32" s="7" t="s">
        <v>137</v>
      </c>
      <c r="B32" s="11" t="str">
        <f t="shared" si="4"/>
        <v>20032</v>
      </c>
      <c r="C32" s="1" t="str">
        <f t="shared" si="0"/>
        <v>Monday</v>
      </c>
      <c r="D32" s="11" t="str">
        <f t="shared" si="1"/>
        <v>0</v>
      </c>
      <c r="E32" s="1" t="str">
        <f t="shared" si="2"/>
        <v>Sunday</v>
      </c>
      <c r="F32" s="11" t="str">
        <f t="shared" si="3"/>
        <v>24</v>
      </c>
    </row>
    <row r="33" spans="1:6" x14ac:dyDescent="0.25">
      <c r="A33" s="7" t="s">
        <v>138</v>
      </c>
      <c r="B33" s="11" t="str">
        <f t="shared" si="4"/>
        <v>20034</v>
      </c>
      <c r="C33" s="1" t="str">
        <f t="shared" si="0"/>
        <v>Monday</v>
      </c>
      <c r="D33" s="11" t="str">
        <f t="shared" si="1"/>
        <v>0</v>
      </c>
      <c r="E33" s="1" t="str">
        <f t="shared" si="2"/>
        <v>Sunday</v>
      </c>
      <c r="F33" s="11" t="str">
        <f t="shared" si="3"/>
        <v>24</v>
      </c>
    </row>
    <row r="34" spans="1:6" x14ac:dyDescent="0.25">
      <c r="A34" s="7" t="s">
        <v>139</v>
      </c>
      <c r="B34" s="11" t="str">
        <f t="shared" si="4"/>
        <v>20036</v>
      </c>
      <c r="C34" s="1" t="str">
        <f t="shared" si="0"/>
        <v>Monday</v>
      </c>
      <c r="D34" s="11" t="str">
        <f t="shared" si="1"/>
        <v>0</v>
      </c>
      <c r="E34" s="1" t="str">
        <f t="shared" si="2"/>
        <v>Sunday</v>
      </c>
      <c r="F34" s="11" t="str">
        <f t="shared" si="3"/>
        <v>24</v>
      </c>
    </row>
    <row r="35" spans="1:6" x14ac:dyDescent="0.25">
      <c r="A35" s="7" t="s">
        <v>140</v>
      </c>
      <c r="B35" s="11" t="str">
        <f t="shared" si="4"/>
        <v>20038</v>
      </c>
      <c r="C35" s="1" t="str">
        <f t="shared" si="0"/>
        <v>Monday</v>
      </c>
      <c r="D35" s="11" t="str">
        <f t="shared" si="1"/>
        <v>0</v>
      </c>
      <c r="E35" s="1" t="str">
        <f t="shared" si="2"/>
        <v>Sunday</v>
      </c>
      <c r="F35" s="11" t="str">
        <f t="shared" si="3"/>
        <v>24</v>
      </c>
    </row>
    <row r="36" spans="1:6" x14ac:dyDescent="0.25">
      <c r="A36" s="7" t="s">
        <v>141</v>
      </c>
      <c r="B36" s="11" t="str">
        <f t="shared" si="4"/>
        <v>20040</v>
      </c>
      <c r="C36" s="1" t="str">
        <f t="shared" si="0"/>
        <v>Monday</v>
      </c>
      <c r="D36" s="11" t="str">
        <f t="shared" si="1"/>
        <v>0</v>
      </c>
      <c r="E36" s="1" t="str">
        <f t="shared" si="2"/>
        <v>Sunday</v>
      </c>
      <c r="F36" s="11" t="str">
        <f t="shared" si="3"/>
        <v>24</v>
      </c>
    </row>
    <row r="37" spans="1:6" x14ac:dyDescent="0.25">
      <c r="A37" s="7" t="s">
        <v>142</v>
      </c>
      <c r="B37" s="11" t="str">
        <f t="shared" si="4"/>
        <v>20042</v>
      </c>
      <c r="C37" s="1" t="str">
        <f t="shared" si="0"/>
        <v>Monday</v>
      </c>
      <c r="D37" s="11" t="str">
        <f t="shared" si="1"/>
        <v>0</v>
      </c>
      <c r="E37" s="1" t="str">
        <f t="shared" si="2"/>
        <v>Sunday</v>
      </c>
      <c r="F37" s="11" t="str">
        <f t="shared" si="3"/>
        <v>24</v>
      </c>
    </row>
    <row r="38" spans="1:6" x14ac:dyDescent="0.25">
      <c r="A38" s="7" t="s">
        <v>143</v>
      </c>
      <c r="B38" s="11" t="str">
        <f t="shared" si="4"/>
        <v>20044</v>
      </c>
      <c r="C38" s="1" t="str">
        <f t="shared" si="0"/>
        <v>Monday</v>
      </c>
      <c r="D38" s="11" t="str">
        <f t="shared" si="1"/>
        <v>0</v>
      </c>
      <c r="E38" s="1" t="str">
        <f t="shared" si="2"/>
        <v>Sunday</v>
      </c>
      <c r="F38" s="11" t="str">
        <f t="shared" si="3"/>
        <v>24</v>
      </c>
    </row>
    <row r="39" spans="1:6" x14ac:dyDescent="0.25">
      <c r="A39" s="7" t="s">
        <v>144</v>
      </c>
      <c r="B39" s="11" t="str">
        <f t="shared" si="4"/>
        <v>20046</v>
      </c>
      <c r="C39" s="1" t="str">
        <f t="shared" si="0"/>
        <v>Monday</v>
      </c>
      <c r="D39" s="11" t="str">
        <f t="shared" si="1"/>
        <v>0</v>
      </c>
      <c r="E39" s="1" t="str">
        <f t="shared" si="2"/>
        <v>Sunday</v>
      </c>
      <c r="F39" s="11" t="str">
        <f t="shared" si="3"/>
        <v>24</v>
      </c>
    </row>
    <row r="40" spans="1:6" x14ac:dyDescent="0.25">
      <c r="A40" s="7" t="s">
        <v>145</v>
      </c>
      <c r="B40" s="11" t="str">
        <f t="shared" si="4"/>
        <v>20048</v>
      </c>
      <c r="C40" s="1" t="str">
        <f t="shared" si="0"/>
        <v>Monday</v>
      </c>
      <c r="D40" s="11" t="str">
        <f t="shared" si="1"/>
        <v>0</v>
      </c>
      <c r="E40" s="1" t="str">
        <f t="shared" si="2"/>
        <v>Sunday</v>
      </c>
      <c r="F40" s="11" t="str">
        <f t="shared" si="3"/>
        <v>24</v>
      </c>
    </row>
    <row r="41" spans="1:6" x14ac:dyDescent="0.25">
      <c r="A41" s="7" t="s">
        <v>146</v>
      </c>
      <c r="B41" s="11" t="str">
        <f t="shared" si="4"/>
        <v>20050</v>
      </c>
      <c r="C41" s="1" t="str">
        <f t="shared" si="0"/>
        <v>Monday</v>
      </c>
      <c r="D41" s="11" t="str">
        <f t="shared" si="1"/>
        <v>0</v>
      </c>
      <c r="E41" s="1" t="str">
        <f t="shared" si="2"/>
        <v>Sunday</v>
      </c>
      <c r="F41" s="11" t="str">
        <f t="shared" si="3"/>
        <v>24</v>
      </c>
    </row>
    <row r="42" spans="1:6" x14ac:dyDescent="0.25">
      <c r="A42" s="7" t="s">
        <v>147</v>
      </c>
      <c r="B42" s="11" t="str">
        <f t="shared" si="4"/>
        <v>20052</v>
      </c>
      <c r="C42" s="1" t="str">
        <f t="shared" si="0"/>
        <v>Monday</v>
      </c>
      <c r="D42" s="11" t="str">
        <f t="shared" si="1"/>
        <v>0</v>
      </c>
      <c r="E42" s="1" t="str">
        <f t="shared" si="2"/>
        <v>Sunday</v>
      </c>
      <c r="F42" s="11" t="str">
        <f t="shared" si="3"/>
        <v>24</v>
      </c>
    </row>
    <row r="43" spans="1:6" x14ac:dyDescent="0.25">
      <c r="A43" s="7" t="s">
        <v>148</v>
      </c>
      <c r="B43" s="11" t="str">
        <f t="shared" si="4"/>
        <v>20054</v>
      </c>
      <c r="C43" s="1" t="str">
        <f t="shared" si="0"/>
        <v>Monday</v>
      </c>
      <c r="D43" s="11" t="str">
        <f t="shared" si="1"/>
        <v>0</v>
      </c>
      <c r="E43" s="1" t="str">
        <f t="shared" si="2"/>
        <v>Sunday</v>
      </c>
      <c r="F43" s="11" t="str">
        <f t="shared" si="3"/>
        <v>24</v>
      </c>
    </row>
    <row r="44" spans="1:6" x14ac:dyDescent="0.25">
      <c r="A44" s="7" t="s">
        <v>149</v>
      </c>
      <c r="B44" s="11" t="str">
        <f t="shared" si="4"/>
        <v>20058</v>
      </c>
      <c r="C44" s="1" t="str">
        <f t="shared" si="0"/>
        <v>Monday</v>
      </c>
      <c r="D44" s="11" t="str">
        <f t="shared" si="1"/>
        <v>0</v>
      </c>
      <c r="E44" s="1" t="str">
        <f t="shared" si="2"/>
        <v>Sunday</v>
      </c>
      <c r="F44" s="11" t="str">
        <f t="shared" si="3"/>
        <v>24</v>
      </c>
    </row>
    <row r="45" spans="1:6" x14ac:dyDescent="0.25">
      <c r="A45" s="7" t="s">
        <v>150</v>
      </c>
      <c r="B45" s="11" t="str">
        <f t="shared" si="4"/>
        <v>20060</v>
      </c>
      <c r="C45" s="1" t="str">
        <f t="shared" si="0"/>
        <v>Monday</v>
      </c>
      <c r="D45" s="11" t="str">
        <f t="shared" si="1"/>
        <v>0</v>
      </c>
      <c r="E45" s="1" t="str">
        <f t="shared" si="2"/>
        <v>Sunday</v>
      </c>
      <c r="F45" s="11" t="str">
        <f t="shared" si="3"/>
        <v>24</v>
      </c>
    </row>
    <row r="46" spans="1:6" x14ac:dyDescent="0.25">
      <c r="A46" s="7" t="s">
        <v>112</v>
      </c>
      <c r="B46" s="11" t="str">
        <f t="shared" si="4"/>
        <v>21000</v>
      </c>
      <c r="C46" s="1" t="str">
        <f t="shared" si="0"/>
        <v>Monday</v>
      </c>
      <c r="D46" s="11" t="str">
        <f t="shared" si="1"/>
        <v>0</v>
      </c>
      <c r="E46" s="1" t="str">
        <f t="shared" si="2"/>
        <v>Sunday</v>
      </c>
      <c r="F46" s="11" t="str">
        <f t="shared" si="3"/>
        <v>24</v>
      </c>
    </row>
    <row r="47" spans="1:6" x14ac:dyDescent="0.25">
      <c r="A47" s="7" t="s">
        <v>113</v>
      </c>
      <c r="B47" s="11" t="str">
        <f t="shared" si="4"/>
        <v>21002</v>
      </c>
      <c r="C47" s="1" t="str">
        <f t="shared" si="0"/>
        <v>Monday</v>
      </c>
      <c r="D47" s="11" t="str">
        <f t="shared" si="1"/>
        <v>0</v>
      </c>
      <c r="E47" s="1" t="str">
        <f t="shared" si="2"/>
        <v>Sunday</v>
      </c>
      <c r="F47" s="11" t="str">
        <f t="shared" si="3"/>
        <v>24</v>
      </c>
    </row>
    <row r="48" spans="1:6" x14ac:dyDescent="0.25">
      <c r="A48" s="7" t="s">
        <v>114</v>
      </c>
      <c r="B48" s="11" t="str">
        <f t="shared" si="4"/>
        <v>21004</v>
      </c>
      <c r="C48" s="1" t="str">
        <f t="shared" si="0"/>
        <v>Monday</v>
      </c>
      <c r="D48" s="11" t="str">
        <f t="shared" si="1"/>
        <v>0</v>
      </c>
      <c r="E48" s="1" t="str">
        <f t="shared" si="2"/>
        <v>Sunday</v>
      </c>
      <c r="F48" s="11" t="str">
        <f t="shared" si="3"/>
        <v>24</v>
      </c>
    </row>
    <row r="49" spans="1:6" x14ac:dyDescent="0.25">
      <c r="A49" s="7" t="s">
        <v>115</v>
      </c>
      <c r="B49" s="11" t="str">
        <f t="shared" si="4"/>
        <v>21006</v>
      </c>
      <c r="C49" s="1" t="str">
        <f t="shared" si="0"/>
        <v>Monday</v>
      </c>
      <c r="D49" s="11" t="str">
        <f t="shared" si="1"/>
        <v>0</v>
      </c>
      <c r="E49" s="1" t="str">
        <f t="shared" si="2"/>
        <v>Sunday</v>
      </c>
      <c r="F49" s="11" t="str">
        <f t="shared" si="3"/>
        <v>24</v>
      </c>
    </row>
    <row r="50" spans="1:6" x14ac:dyDescent="0.25">
      <c r="A50" s="7" t="s">
        <v>116</v>
      </c>
      <c r="B50" s="11" t="str">
        <f t="shared" si="4"/>
        <v>21008</v>
      </c>
      <c r="C50" s="1" t="str">
        <f t="shared" si="0"/>
        <v>Monday</v>
      </c>
      <c r="D50" s="11" t="str">
        <f t="shared" si="1"/>
        <v>0</v>
      </c>
      <c r="E50" s="1" t="str">
        <f t="shared" si="2"/>
        <v>Sunday</v>
      </c>
      <c r="F50" s="11" t="str">
        <f t="shared" si="3"/>
        <v>24</v>
      </c>
    </row>
    <row r="51" spans="1:6" x14ac:dyDescent="0.25">
      <c r="A51" s="7" t="s">
        <v>117</v>
      </c>
      <c r="B51" s="11" t="str">
        <f t="shared" si="4"/>
        <v>21010</v>
      </c>
      <c r="C51" s="1" t="str">
        <f t="shared" si="0"/>
        <v>Monday</v>
      </c>
      <c r="D51" s="11" t="str">
        <f t="shared" si="1"/>
        <v>0</v>
      </c>
      <c r="E51" s="1" t="str">
        <f t="shared" si="2"/>
        <v>Sunday</v>
      </c>
      <c r="F51" s="11" t="str">
        <f t="shared" si="3"/>
        <v>24</v>
      </c>
    </row>
    <row r="52" spans="1:6" x14ac:dyDescent="0.25">
      <c r="A52" s="7" t="s">
        <v>118</v>
      </c>
      <c r="B52" s="11" t="str">
        <f t="shared" si="4"/>
        <v>21012</v>
      </c>
      <c r="C52" s="1" t="str">
        <f t="shared" si="0"/>
        <v>Monday</v>
      </c>
      <c r="D52" s="11" t="str">
        <f t="shared" si="1"/>
        <v>0</v>
      </c>
      <c r="E52" s="1" t="str">
        <f t="shared" si="2"/>
        <v>Sunday</v>
      </c>
      <c r="F52" s="11" t="str">
        <f t="shared" si="3"/>
        <v>24</v>
      </c>
    </row>
    <row r="53" spans="1:6" x14ac:dyDescent="0.25">
      <c r="A53" s="7" t="s">
        <v>119</v>
      </c>
      <c r="B53" s="11" t="str">
        <f t="shared" si="4"/>
        <v>21014</v>
      </c>
      <c r="C53" s="1" t="str">
        <f t="shared" si="0"/>
        <v>Monday</v>
      </c>
      <c r="D53" s="11" t="str">
        <f t="shared" si="1"/>
        <v>0</v>
      </c>
      <c r="E53" s="1" t="str">
        <f t="shared" si="2"/>
        <v>Sunday</v>
      </c>
      <c r="F53" s="11" t="str">
        <f t="shared" si="3"/>
        <v>24</v>
      </c>
    </row>
    <row r="54" spans="1:6" x14ac:dyDescent="0.25">
      <c r="A54" s="9" t="s">
        <v>120</v>
      </c>
      <c r="B54" s="11" t="str">
        <f t="shared" si="4"/>
        <v>21016</v>
      </c>
      <c r="C54" s="1" t="str">
        <f t="shared" si="0"/>
        <v>Monday</v>
      </c>
      <c r="D54" s="11" t="str">
        <f t="shared" si="1"/>
        <v>0</v>
      </c>
      <c r="E54" s="1" t="str">
        <f t="shared" si="2"/>
        <v>Sunday</v>
      </c>
      <c r="F54" s="11" t="str">
        <f t="shared" si="3"/>
        <v>24</v>
      </c>
    </row>
  </sheetData>
  <phoneticPr fontId="10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3" zoomScaleNormal="100" workbookViewId="0">
      <selection activeCell="G11" sqref="G11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0" t="s">
        <v>85</v>
      </c>
      <c r="B1" s="39" t="s">
        <v>167</v>
      </c>
    </row>
    <row r="2" spans="1:3" ht="18.75" x14ac:dyDescent="0.3">
      <c r="B2" s="38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 t="s">
        <v>189</v>
      </c>
    </row>
    <row r="7" spans="1:3" ht="15" x14ac:dyDescent="0.25">
      <c r="A7" s="3" t="s">
        <v>153</v>
      </c>
      <c r="B7" s="1" t="s">
        <v>190</v>
      </c>
    </row>
    <row r="10" spans="1:3" ht="23.25" x14ac:dyDescent="0.35">
      <c r="A10" s="17" t="s">
        <v>162</v>
      </c>
    </row>
    <row r="11" spans="1:3" ht="15" x14ac:dyDescent="0.25">
      <c r="A11" s="30" t="s">
        <v>86</v>
      </c>
      <c r="B11" s="16" t="s">
        <v>87</v>
      </c>
      <c r="C11" s="16" t="s">
        <v>88</v>
      </c>
    </row>
    <row r="12" spans="1:3" ht="15" x14ac:dyDescent="0.25">
      <c r="A12" s="30">
        <v>44927</v>
      </c>
      <c r="B12" s="16" t="s">
        <v>59</v>
      </c>
      <c r="C12" s="46">
        <v>200</v>
      </c>
    </row>
    <row r="13" spans="1:3" ht="15" x14ac:dyDescent="0.25">
      <c r="A13" s="30">
        <v>44928</v>
      </c>
      <c r="B13" s="16" t="s">
        <v>60</v>
      </c>
      <c r="C13" s="46">
        <v>20</v>
      </c>
    </row>
    <row r="14" spans="1:3" ht="15" x14ac:dyDescent="0.25">
      <c r="A14" s="30">
        <v>44929</v>
      </c>
      <c r="B14" s="16" t="s">
        <v>61</v>
      </c>
      <c r="C14" s="46">
        <v>50</v>
      </c>
    </row>
    <row r="15" spans="1:3" ht="15" x14ac:dyDescent="0.25">
      <c r="A15" s="30">
        <v>44930</v>
      </c>
      <c r="B15" s="16" t="s">
        <v>62</v>
      </c>
      <c r="C15" s="46">
        <v>20</v>
      </c>
    </row>
    <row r="16" spans="1:3" ht="15" x14ac:dyDescent="0.25">
      <c r="A16" s="30">
        <v>44931</v>
      </c>
      <c r="B16" s="16" t="s">
        <v>63</v>
      </c>
      <c r="C16" s="46">
        <v>10</v>
      </c>
    </row>
    <row r="17" spans="1:3" ht="15" x14ac:dyDescent="0.25">
      <c r="A17" s="30">
        <v>44932</v>
      </c>
      <c r="B17" s="16" t="s">
        <v>154</v>
      </c>
      <c r="C17" s="46">
        <v>150</v>
      </c>
    </row>
    <row r="18" spans="1:3" ht="15" x14ac:dyDescent="0.25">
      <c r="A18" s="30">
        <v>44933</v>
      </c>
      <c r="B18" s="16" t="s">
        <v>155</v>
      </c>
      <c r="C18" s="46">
        <v>80</v>
      </c>
    </row>
    <row r="19" spans="1:3" ht="15" x14ac:dyDescent="0.25">
      <c r="A19" s="30">
        <v>44934</v>
      </c>
      <c r="B19" s="16" t="s">
        <v>156</v>
      </c>
      <c r="C19" s="46">
        <v>20</v>
      </c>
    </row>
    <row r="20" spans="1:3" ht="15" x14ac:dyDescent="0.25">
      <c r="A20" s="30">
        <v>44935</v>
      </c>
      <c r="B20" s="16" t="s">
        <v>157</v>
      </c>
      <c r="C20" s="46">
        <v>30</v>
      </c>
    </row>
    <row r="21" spans="1:3" ht="15" x14ac:dyDescent="0.25">
      <c r="A21" s="30">
        <v>44936</v>
      </c>
      <c r="B21" s="16" t="s">
        <v>158</v>
      </c>
      <c r="C21" s="46">
        <v>20</v>
      </c>
    </row>
    <row r="22" spans="1:3" ht="15" x14ac:dyDescent="0.25">
      <c r="B22" s="16" t="s">
        <v>159</v>
      </c>
      <c r="C22" s="47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K8" sqref="K8"/>
    </sheetView>
  </sheetViews>
  <sheetFormatPr defaultColWidth="11" defaultRowHeight="12.75" x14ac:dyDescent="0.2"/>
  <cols>
    <col min="1" max="1" width="28.1640625" style="2" bestFit="1" customWidth="1"/>
    <col min="2" max="3" width="11" style="2"/>
    <col min="4" max="4" width="11.1640625" style="2" customWidth="1"/>
    <col min="5" max="16384" width="11" style="2"/>
  </cols>
  <sheetData>
    <row r="1" spans="1:14" ht="21" x14ac:dyDescent="0.35">
      <c r="A1" s="40" t="s">
        <v>177</v>
      </c>
      <c r="B1" s="39" t="s">
        <v>175</v>
      </c>
    </row>
    <row r="3" spans="1:14" ht="15" x14ac:dyDescent="0.25">
      <c r="B3" s="1" t="s">
        <v>151</v>
      </c>
    </row>
    <row r="4" spans="1:14" ht="18.75" x14ac:dyDescent="0.3">
      <c r="A4" s="41" t="s">
        <v>53</v>
      </c>
      <c r="B4" s="1"/>
      <c r="D4" s="2" t="s">
        <v>191</v>
      </c>
    </row>
    <row r="5" spans="1:14" ht="18.75" x14ac:dyDescent="0.3">
      <c r="A5" s="41" t="s">
        <v>153</v>
      </c>
      <c r="B5" s="1"/>
      <c r="D5" s="2" t="s">
        <v>192</v>
      </c>
    </row>
    <row r="6" spans="1:14" ht="15" x14ac:dyDescent="0.25">
      <c r="A6" s="3"/>
      <c r="B6" s="1"/>
    </row>
    <row r="8" spans="1:14" ht="23.25" x14ac:dyDescent="0.35">
      <c r="A8" s="17" t="s">
        <v>162</v>
      </c>
      <c r="M8" s="17" t="s">
        <v>163</v>
      </c>
    </row>
    <row r="9" spans="1:14" ht="15" x14ac:dyDescent="0.2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5" x14ac:dyDescent="0.2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5" x14ac:dyDescent="0.2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5" x14ac:dyDescent="0.2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5" x14ac:dyDescent="0.2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5" x14ac:dyDescent="0.2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5" x14ac:dyDescent="0.2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5" x14ac:dyDescent="0.2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5" x14ac:dyDescent="0.2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5" x14ac:dyDescent="0.2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25" x14ac:dyDescent="0.35">
      <c r="A21" s="17" t="s">
        <v>168</v>
      </c>
    </row>
    <row r="22" spans="1:14" ht="15" x14ac:dyDescent="0.25">
      <c r="A22" s="13" t="s">
        <v>100</v>
      </c>
      <c r="B22" s="16" t="s">
        <v>101</v>
      </c>
      <c r="C22" s="15" t="s">
        <v>102</v>
      </c>
      <c r="G22" s="2" t="s">
        <v>100</v>
      </c>
      <c r="H22" s="2" t="s">
        <v>101</v>
      </c>
      <c r="I22" s="2" t="s">
        <v>102</v>
      </c>
    </row>
    <row r="23" spans="1:14" ht="15" x14ac:dyDescent="0.25">
      <c r="A23" s="7">
        <v>10100</v>
      </c>
      <c r="B23" s="11">
        <v>10102</v>
      </c>
      <c r="C23" s="42">
        <f>I23</f>
        <v>95</v>
      </c>
      <c r="G23" s="2" t="str">
        <f>VLOOKUP(A23, $M$9:$N$18, 2, 0)</f>
        <v>A</v>
      </c>
      <c r="H23" s="2" t="str">
        <f>VLOOKUP(B23, $M$9:$N$18, 2, 0)</f>
        <v>B</v>
      </c>
      <c r="I23" s="2">
        <f>INDEX($A$9:$J$18, MATCH(G23, $A$9:$A$18, 0), MATCH(H23, $A$9:$J$9, 0))</f>
        <v>95</v>
      </c>
    </row>
    <row r="24" spans="1:14" ht="15" x14ac:dyDescent="0.25">
      <c r="A24" s="7">
        <v>10100</v>
      </c>
      <c r="B24" s="11">
        <v>10104</v>
      </c>
      <c r="C24" s="42">
        <f t="shared" ref="C24:C35" si="0">I24</f>
        <v>-1</v>
      </c>
      <c r="G24" s="2" t="str">
        <f>VLOOKUP(A24, $M$9:$N$18, 2, 0)</f>
        <v>A</v>
      </c>
      <c r="H24" s="2" t="str">
        <f t="shared" ref="H24:H35" si="1">VLOOKUP(B24, $M$9:$N$18, 2, 0)</f>
        <v>C</v>
      </c>
      <c r="I24" s="2">
        <f t="shared" ref="I24:I35" si="2">INDEX($A$9:$J$18, MATCH(G24, $A$9:$A$18, 0), MATCH(H24, $A$9:$J$9, 0))</f>
        <v>-1</v>
      </c>
    </row>
    <row r="25" spans="1:14" ht="15" x14ac:dyDescent="0.25">
      <c r="A25" s="7">
        <v>10108</v>
      </c>
      <c r="B25" s="11">
        <v>10102</v>
      </c>
      <c r="C25" s="42">
        <f t="shared" si="0"/>
        <v>160</v>
      </c>
      <c r="G25" s="2" t="str">
        <f t="shared" ref="G25:G35" si="3">VLOOKUP(A25, $M$9:$N$18, 2, 0)</f>
        <v>E</v>
      </c>
      <c r="H25" s="2" t="str">
        <f t="shared" si="1"/>
        <v>B</v>
      </c>
      <c r="I25" s="2">
        <f t="shared" si="2"/>
        <v>160</v>
      </c>
    </row>
    <row r="26" spans="1:14" ht="15" x14ac:dyDescent="0.25">
      <c r="A26" s="7">
        <v>10100</v>
      </c>
      <c r="B26" s="11">
        <v>10106</v>
      </c>
      <c r="C26" s="42">
        <f t="shared" si="0"/>
        <v>185</v>
      </c>
      <c r="G26" s="2" t="str">
        <f t="shared" si="3"/>
        <v>A</v>
      </c>
      <c r="H26" s="2" t="str">
        <f t="shared" si="1"/>
        <v>D</v>
      </c>
      <c r="I26" s="2">
        <f t="shared" si="2"/>
        <v>185</v>
      </c>
    </row>
    <row r="27" spans="1:14" ht="15" x14ac:dyDescent="0.25">
      <c r="A27" s="7">
        <v>10108</v>
      </c>
      <c r="B27" s="11">
        <v>10110</v>
      </c>
      <c r="C27" s="42">
        <f t="shared" si="0"/>
        <v>50</v>
      </c>
      <c r="G27" s="2" t="str">
        <f t="shared" si="3"/>
        <v>E</v>
      </c>
      <c r="H27" s="2" t="str">
        <f t="shared" si="1"/>
        <v>F</v>
      </c>
      <c r="I27" s="2">
        <f t="shared" si="2"/>
        <v>50</v>
      </c>
    </row>
    <row r="28" spans="1:14" ht="15" x14ac:dyDescent="0.25">
      <c r="A28" s="7">
        <v>10102</v>
      </c>
      <c r="B28" s="11">
        <v>10104</v>
      </c>
      <c r="C28" s="42">
        <f t="shared" si="0"/>
        <v>-1</v>
      </c>
      <c r="G28" s="2" t="str">
        <f t="shared" si="3"/>
        <v>B</v>
      </c>
      <c r="H28" s="2" t="str">
        <f t="shared" si="1"/>
        <v>C</v>
      </c>
      <c r="I28" s="2">
        <f t="shared" si="2"/>
        <v>-1</v>
      </c>
    </row>
    <row r="29" spans="1:14" ht="15" x14ac:dyDescent="0.25">
      <c r="A29" s="7">
        <v>10106</v>
      </c>
      <c r="B29" s="11">
        <v>10108</v>
      </c>
      <c r="C29" s="42">
        <f t="shared" si="0"/>
        <v>70</v>
      </c>
      <c r="G29" s="2" t="str">
        <f t="shared" si="3"/>
        <v>D</v>
      </c>
      <c r="H29" s="2" t="str">
        <f t="shared" si="1"/>
        <v>E</v>
      </c>
      <c r="I29" s="2">
        <f t="shared" si="2"/>
        <v>70</v>
      </c>
    </row>
    <row r="30" spans="1:14" ht="15" x14ac:dyDescent="0.25">
      <c r="A30" s="7">
        <v>10102</v>
      </c>
      <c r="B30" s="11">
        <v>10106</v>
      </c>
      <c r="C30" s="42">
        <f t="shared" si="0"/>
        <v>90</v>
      </c>
      <c r="G30" s="2" t="str">
        <f t="shared" si="3"/>
        <v>B</v>
      </c>
      <c r="H30" s="2" t="str">
        <f t="shared" si="1"/>
        <v>D</v>
      </c>
      <c r="I30" s="2">
        <f t="shared" si="2"/>
        <v>90</v>
      </c>
      <c r="L30" s="2" t="s">
        <v>177</v>
      </c>
    </row>
    <row r="31" spans="1:14" ht="15" x14ac:dyDescent="0.25">
      <c r="A31" s="7">
        <v>10110</v>
      </c>
      <c r="B31" s="11">
        <v>10114</v>
      </c>
      <c r="C31" s="42">
        <f t="shared" si="0"/>
        <v>180</v>
      </c>
      <c r="G31" s="2" t="str">
        <f t="shared" si="3"/>
        <v>F</v>
      </c>
      <c r="H31" s="2" t="str">
        <f t="shared" si="1"/>
        <v>H</v>
      </c>
      <c r="I31" s="2">
        <f t="shared" si="2"/>
        <v>180</v>
      </c>
    </row>
    <row r="32" spans="1:14" ht="15" x14ac:dyDescent="0.25">
      <c r="A32" s="7">
        <v>10104</v>
      </c>
      <c r="B32" s="11">
        <v>10106</v>
      </c>
      <c r="C32" s="42">
        <f t="shared" si="0"/>
        <v>60</v>
      </c>
      <c r="G32" s="2" t="str">
        <f t="shared" si="3"/>
        <v>C</v>
      </c>
      <c r="H32" s="2" t="str">
        <f t="shared" si="1"/>
        <v>D</v>
      </c>
      <c r="I32" s="2">
        <f t="shared" si="2"/>
        <v>60</v>
      </c>
    </row>
    <row r="33" spans="1:9" ht="15" x14ac:dyDescent="0.25">
      <c r="A33" s="7">
        <v>10110</v>
      </c>
      <c r="B33" s="11">
        <v>10112</v>
      </c>
      <c r="C33" s="42">
        <f t="shared" si="0"/>
        <v>115</v>
      </c>
      <c r="G33" s="2" t="str">
        <f t="shared" si="3"/>
        <v>F</v>
      </c>
      <c r="H33" s="2" t="str">
        <f t="shared" si="1"/>
        <v>G</v>
      </c>
      <c r="I33" s="2">
        <f t="shared" si="2"/>
        <v>115</v>
      </c>
    </row>
    <row r="34" spans="1:9" ht="15" x14ac:dyDescent="0.25">
      <c r="A34" s="7">
        <v>10100</v>
      </c>
      <c r="B34" s="11">
        <v>10114</v>
      </c>
      <c r="C34" s="42">
        <f t="shared" si="0"/>
        <v>480</v>
      </c>
      <c r="G34" s="2" t="str">
        <f t="shared" si="3"/>
        <v>A</v>
      </c>
      <c r="H34" s="2" t="str">
        <f t="shared" si="1"/>
        <v>H</v>
      </c>
      <c r="I34" s="2">
        <f t="shared" si="2"/>
        <v>480</v>
      </c>
    </row>
    <row r="35" spans="1:9" ht="15" x14ac:dyDescent="0.25">
      <c r="A35" s="9">
        <v>10112</v>
      </c>
      <c r="B35" s="12">
        <v>10116</v>
      </c>
      <c r="C35" s="42">
        <f t="shared" si="0"/>
        <v>105</v>
      </c>
      <c r="G35" s="2" t="str">
        <f t="shared" si="3"/>
        <v>G</v>
      </c>
      <c r="H35" s="2" t="str">
        <f t="shared" si="1"/>
        <v>I</v>
      </c>
      <c r="I35" s="2">
        <f t="shared" si="2"/>
        <v>105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Anuj Bhadola</cp:lastModifiedBy>
  <dcterms:created xsi:type="dcterms:W3CDTF">2015-02-10T17:33:11Z</dcterms:created>
  <dcterms:modified xsi:type="dcterms:W3CDTF">2023-12-10T14:53:56Z</dcterms:modified>
</cp:coreProperties>
</file>